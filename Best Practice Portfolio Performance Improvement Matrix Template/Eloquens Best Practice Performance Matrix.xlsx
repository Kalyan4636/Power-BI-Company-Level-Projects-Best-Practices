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demoures/Wimi Drive adVentures/Eloquens/ELQ - Communication &amp; Marketing 📣/"/>
    </mc:Choice>
  </mc:AlternateContent>
  <xr:revisionPtr revIDLastSave="0" documentId="13_ncr:1_{88478014-D511-A141-9922-6CC3A8F00AF7}" xr6:coauthVersionLast="47" xr6:coauthVersionMax="47" xr10:uidLastSave="{00000000-0000-0000-0000-000000000000}"/>
  <bookViews>
    <workbookView xWindow="0" yWindow="500" windowWidth="28800" windowHeight="17500" xr2:uid="{A60F2C8F-FF9E-B34D-83D0-57506AD46E25}"/>
  </bookViews>
  <sheets>
    <sheet name="Graph 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3" l="1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24" i="3" s="1"/>
  <c r="M8" i="3"/>
  <c r="Q14" i="3"/>
  <c r="Q13" i="3"/>
  <c r="Q21" i="3"/>
  <c r="Q20" i="3"/>
  <c r="Q19" i="3"/>
  <c r="Q18" i="3"/>
  <c r="Q17" i="3"/>
  <c r="Q16" i="3"/>
  <c r="Q15" i="3"/>
  <c r="Q12" i="3"/>
  <c r="Q11" i="3"/>
  <c r="Q10" i="3"/>
  <c r="Q9" i="3"/>
  <c r="Q8" i="3"/>
  <c r="Q24" i="3" s="1"/>
  <c r="P22" i="3"/>
  <c r="L22" i="3"/>
  <c r="M23" i="3" l="1"/>
  <c r="Q23" i="3"/>
  <c r="Q22" i="3"/>
  <c r="H22" i="3"/>
  <c r="M22" i="3" s="1"/>
  <c r="G12" i="3" l="1"/>
  <c r="G16" i="3"/>
  <c r="R19" i="3"/>
  <c r="R11" i="3"/>
  <c r="R8" i="3"/>
  <c r="R17" i="3"/>
  <c r="R18" i="3"/>
  <c r="R10" i="3"/>
  <c r="G8" i="3" s="1"/>
  <c r="R9" i="3"/>
  <c r="R16" i="3"/>
  <c r="R15" i="3"/>
  <c r="R14" i="3"/>
  <c r="R21" i="3"/>
  <c r="R13" i="3"/>
  <c r="R20" i="3"/>
  <c r="R12" i="3"/>
  <c r="G13" i="3" l="1"/>
  <c r="G17" i="3"/>
  <c r="U17" i="3" s="1"/>
  <c r="G19" i="3"/>
  <c r="G10" i="3"/>
  <c r="G20" i="3"/>
  <c r="G9" i="3"/>
  <c r="G18" i="3"/>
  <c r="U18" i="3" s="1"/>
  <c r="G11" i="3"/>
  <c r="U11" i="3" s="1"/>
  <c r="G15" i="3"/>
  <c r="U15" i="3" s="1"/>
  <c r="G21" i="3"/>
  <c r="U21" i="3" s="1"/>
  <c r="G14" i="3"/>
  <c r="U9" i="3"/>
  <c r="U20" i="3"/>
  <c r="U12" i="3"/>
  <c r="N16" i="3"/>
  <c r="N8" i="3"/>
  <c r="N14" i="3"/>
  <c r="N21" i="3"/>
  <c r="N19" i="3"/>
  <c r="N15" i="3"/>
  <c r="N13" i="3"/>
  <c r="N12" i="3"/>
  <c r="N11" i="3"/>
  <c r="N18" i="3"/>
  <c r="N10" i="3"/>
  <c r="N17" i="3"/>
  <c r="N9" i="3"/>
  <c r="N20" i="3"/>
  <c r="U13" i="3"/>
  <c r="U10" i="3"/>
  <c r="U19" i="3"/>
  <c r="U14" i="3"/>
  <c r="U16" i="3"/>
  <c r="F20" i="3" l="1"/>
  <c r="T20" i="3" s="1"/>
  <c r="V20" i="3" s="1"/>
  <c r="F15" i="3"/>
  <c r="T15" i="3" s="1"/>
  <c r="V15" i="3" s="1"/>
  <c r="F11" i="3"/>
  <c r="T11" i="3" s="1"/>
  <c r="V11" i="3" s="1"/>
  <c r="F10" i="3"/>
  <c r="F13" i="3"/>
  <c r="F19" i="3"/>
  <c r="F18" i="3"/>
  <c r="T18" i="3" s="1"/>
  <c r="V18" i="3" s="1"/>
  <c r="F14" i="3"/>
  <c r="T14" i="3" s="1"/>
  <c r="V14" i="3" s="1"/>
  <c r="F17" i="3"/>
  <c r="T17" i="3" s="1"/>
  <c r="V17" i="3" s="1"/>
  <c r="F21" i="3"/>
  <c r="T21" i="3" s="1"/>
  <c r="V21" i="3" s="1"/>
  <c r="F16" i="3"/>
  <c r="T16" i="3" s="1"/>
  <c r="V16" i="3" s="1"/>
  <c r="F12" i="3"/>
  <c r="T12" i="3" s="1"/>
  <c r="V12" i="3" s="1"/>
  <c r="F8" i="3"/>
  <c r="F9" i="3"/>
  <c r="T9" i="3" s="1"/>
  <c r="V9" i="3" s="1"/>
  <c r="T19" i="3"/>
  <c r="V19" i="3" s="1"/>
  <c r="T10" i="3"/>
  <c r="V10" i="3" s="1"/>
  <c r="T8" i="3" l="1"/>
  <c r="V8" i="3" s="1"/>
  <c r="T13" i="3"/>
  <c r="V13" i="3" s="1"/>
</calcChain>
</file>

<file path=xl/sharedStrings.xml><?xml version="1.0" encoding="utf-8"?>
<sst xmlns="http://schemas.openxmlformats.org/spreadsheetml/2006/main" count="79" uniqueCount="67">
  <si>
    <t>Legend</t>
  </si>
  <si>
    <t>Editable Cells</t>
  </si>
  <si>
    <t>Calculations</t>
  </si>
  <si>
    <t>Position on Matrix</t>
  </si>
  <si>
    <t>Graph to Copy Paste onto the PPT</t>
  </si>
  <si>
    <t>Strategic Action</t>
  </si>
  <si>
    <t xml:space="preserve">Total  </t>
  </si>
  <si>
    <t>X Axis Position</t>
  </si>
  <si>
    <t>Y Axis Position</t>
  </si>
  <si>
    <t>x axis</t>
  </si>
  <si>
    <t>y axis</t>
  </si>
  <si>
    <t>Outputs</t>
  </si>
  <si>
    <t>Low</t>
  </si>
  <si>
    <t>Average</t>
  </si>
  <si>
    <t>High</t>
  </si>
  <si>
    <t>Sales over Time Period (in USD)</t>
  </si>
  <si>
    <t>Product Name</t>
  </si>
  <si>
    <t>Conversion Rate</t>
  </si>
  <si>
    <t>Number of Views over Time Period</t>
  </si>
  <si>
    <t>Number of Sales over Time Period</t>
  </si>
  <si>
    <t>Time Period</t>
  </si>
  <si>
    <t>3 months</t>
  </si>
  <si>
    <t>Minimum number of Views for Product Analysis Eligibility</t>
  </si>
  <si>
    <t>Minimum number of Sales for Product Analysis Eligibility</t>
  </si>
  <si>
    <t>&gt; 0 USD</t>
  </si>
  <si>
    <t>Level of Conversion</t>
  </si>
  <si>
    <t>Multiplicator Factor for LN Calculation</t>
  </si>
  <si>
    <t>Max</t>
  </si>
  <si>
    <t>Min</t>
  </si>
  <si>
    <t>USD per 100 Views</t>
  </si>
  <si>
    <t>Level of USD/ 100 Views</t>
  </si>
  <si>
    <t>NEW GEMS</t>
  </si>
  <si>
    <t>Low USD/100 view x High Conversion</t>
  </si>
  <si>
    <t>Low USD/100 view x Average Conversion</t>
  </si>
  <si>
    <t>RAW GEMS</t>
  </si>
  <si>
    <t>Low USD/100 view x Low Conversion</t>
  </si>
  <si>
    <t>DOGS</t>
  </si>
  <si>
    <t>Average USD/100 view x Low Conversion</t>
  </si>
  <si>
    <t>Average USD/100 view x High Conversion</t>
  </si>
  <si>
    <t>Average USD/100 view x Average Conversion</t>
  </si>
  <si>
    <t>High USD/100 view x High Conversion</t>
  </si>
  <si>
    <t>High USD/100 view x Average Conversion</t>
  </si>
  <si>
    <t>High USD/100 view x Low Conversion</t>
  </si>
  <si>
    <t>UNDERPRICED STARS</t>
  </si>
  <si>
    <t>STRONG PERFORMERS</t>
  </si>
  <si>
    <t>UNPOLISHED GEMS</t>
  </si>
  <si>
    <t>STARS</t>
  </si>
  <si>
    <t>HIGH POTENTIALS</t>
  </si>
  <si>
    <t>PANDORA'S BOX</t>
  </si>
  <si>
    <t>Total</t>
  </si>
  <si>
    <t>Corresponding Level of USD per 100 views</t>
  </si>
  <si>
    <t>Corresponding Level of Conversion Rate</t>
  </si>
  <si>
    <t>Alpha</t>
  </si>
  <si>
    <t>Bravo</t>
  </si>
  <si>
    <t>Charlie</t>
  </si>
  <si>
    <t>Delta</t>
  </si>
  <si>
    <t>Echo</t>
  </si>
  <si>
    <t>Foxtrot</t>
  </si>
  <si>
    <t>Golf</t>
  </si>
  <si>
    <t>Hotel</t>
  </si>
  <si>
    <t>India</t>
  </si>
  <si>
    <t>Juliett</t>
  </si>
  <si>
    <t>Kilo</t>
  </si>
  <si>
    <t>Lima</t>
  </si>
  <si>
    <t>Mike</t>
  </si>
  <si>
    <t>November</t>
  </si>
  <si>
    <t>Eloquens Best Practice Portfolio Performance Matrix- Graph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</si>
</sst>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2" fontId="1" fillId="0" borderId="6" xfId="0" applyNumberFormat="1" applyFont="1" applyFill="1" applyBorder="1" applyAlignment="1">
      <alignment horizontal="center"/>
    </xf>
    <xf numFmtId="2" fontId="1" fillId="0" borderId="9" xfId="0" applyNumberFormat="1" applyFont="1" applyFill="1" applyBorder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right"/>
    </xf>
    <xf numFmtId="9" fontId="1" fillId="0" borderId="7" xfId="1" applyFont="1" applyFill="1" applyBorder="1" applyAlignment="1">
      <alignment horizontal="center"/>
    </xf>
    <xf numFmtId="9" fontId="1" fillId="0" borderId="10" xfId="1" applyFont="1" applyFill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1" fillId="0" borderId="5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4" borderId="8" xfId="0" applyNumberForma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" fontId="0" fillId="0" borderId="5" xfId="0" applyNumberFormat="1" applyFill="1" applyBorder="1" applyAlignment="1">
      <alignment horizontal="center"/>
    </xf>
    <xf numFmtId="4" fontId="0" fillId="0" borderId="8" xfId="0" applyNumberFormat="1" applyFill="1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5" fontId="0" fillId="0" borderId="8" xfId="1" applyNumberFormat="1" applyFont="1" applyFill="1" applyBorder="1" applyAlignment="1">
      <alignment horizontal="center"/>
    </xf>
    <xf numFmtId="2" fontId="1" fillId="0" borderId="7" xfId="1" applyNumberFormat="1" applyFont="1" applyFill="1" applyBorder="1" applyAlignment="1">
      <alignment horizontal="center"/>
    </xf>
    <xf numFmtId="2" fontId="1" fillId="0" borderId="10" xfId="1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3">
    <dxf>
      <font>
        <b/>
        <i val="0"/>
        <color rgb="FF00B050"/>
      </font>
    </dxf>
    <dxf>
      <font>
        <b/>
        <i val="0"/>
        <color rgb="FF0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26769472375503E-2"/>
          <c:y val="2.8075553055868022E-2"/>
          <c:w val="0.83525617815778574"/>
          <c:h val="0.88450342144731897"/>
        </c:manualLayout>
      </c:layout>
      <c:bubbleChart>
        <c:varyColors val="0"/>
        <c:ser>
          <c:idx val="1"/>
          <c:order val="0"/>
          <c:tx>
            <c:strRef>
              <c:f>'Graph Data'!$J$8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5384099502271138E-2"/>
                  <c:y val="7.2573842762524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Data'!$F$8</c:f>
              <c:numCache>
                <c:formatCode>0.00</c:formatCode>
                <c:ptCount val="1"/>
                <c:pt idx="0">
                  <c:v>0.80669459769970153</c:v>
                </c:pt>
              </c:numCache>
            </c:numRef>
          </c:xVal>
          <c:yVal>
            <c:numRef>
              <c:f>'Graph Data'!$G$8</c:f>
              <c:numCache>
                <c:formatCode>0.00</c:formatCode>
                <c:ptCount val="1"/>
                <c:pt idx="0">
                  <c:v>0.33940208700593144</c:v>
                </c:pt>
              </c:numCache>
            </c:numRef>
          </c:yVal>
          <c:bubbleSize>
            <c:numRef>
              <c:f>'Graph Data'!$H$8</c:f>
              <c:numCache>
                <c:formatCode>0</c:formatCode>
                <c:ptCount val="1"/>
                <c:pt idx="0">
                  <c:v>19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5365-7442-9C76-7EE26AF870CC}"/>
            </c:ext>
          </c:extLst>
        </c:ser>
        <c:ser>
          <c:idx val="0"/>
          <c:order val="1"/>
          <c:tx>
            <c:strRef>
              <c:f>'Graph Data'!$J$9</c:f>
              <c:strCache>
                <c:ptCount val="1"/>
                <c:pt idx="0">
                  <c:v>Bravo</c:v>
                </c:pt>
              </c:strCache>
            </c:strRef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E8-8D4E-ADC4-D19A47A93B71}"/>
              </c:ext>
            </c:extLst>
          </c:dPt>
          <c:dLbls>
            <c:dLbl>
              <c:idx val="0"/>
              <c:layout>
                <c:manualLayout>
                  <c:x val="-0.26329661700874646"/>
                  <c:y val="-7.5238116481909077E-4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E8-8D4E-ADC4-D19A47A93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Data'!$F$9</c:f>
              <c:numCache>
                <c:formatCode>0.00</c:formatCode>
                <c:ptCount val="1"/>
                <c:pt idx="0">
                  <c:v>0.35546867581592456</c:v>
                </c:pt>
              </c:numCache>
            </c:numRef>
          </c:xVal>
          <c:yVal>
            <c:numRef>
              <c:f>'Graph Data'!$G$9</c:f>
              <c:numCache>
                <c:formatCode>0.00</c:formatCode>
                <c:ptCount val="1"/>
                <c:pt idx="0">
                  <c:v>0.13416956377879796</c:v>
                </c:pt>
              </c:numCache>
            </c:numRef>
          </c:yVal>
          <c:bubbleSize>
            <c:numRef>
              <c:f>'Graph Data'!$H$9</c:f>
              <c:numCache>
                <c:formatCode>0</c:formatCode>
                <c:ptCount val="1"/>
                <c:pt idx="0">
                  <c:v>21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365-7442-9C76-7EE26AF870CC}"/>
            </c:ext>
          </c:extLst>
        </c:ser>
        <c:ser>
          <c:idx val="2"/>
          <c:order val="2"/>
          <c:tx>
            <c:strRef>
              <c:f>'Graph Data'!$J$10</c:f>
              <c:strCache>
                <c:ptCount val="1"/>
                <c:pt idx="0">
                  <c:v>Charlie</c:v>
                </c:pt>
              </c:strCache>
            </c:strRef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16441954591757205"/>
                  <c:y val="-1.766181201537928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96491609661666"/>
                      <c:h val="0.108783006455112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Data'!$F$10</c:f>
              <c:numCache>
                <c:formatCode>0.00</c:formatCode>
                <c:ptCount val="1"/>
                <c:pt idx="0">
                  <c:v>0.68390418977658052</c:v>
                </c:pt>
              </c:numCache>
            </c:numRef>
          </c:xVal>
          <c:yVal>
            <c:numRef>
              <c:f>'Graph Data'!$G$10</c:f>
              <c:numCache>
                <c:formatCode>0.00</c:formatCode>
                <c:ptCount val="1"/>
                <c:pt idx="0">
                  <c:v>0.46329716270786125</c:v>
                </c:pt>
              </c:numCache>
            </c:numRef>
          </c:yVal>
          <c:bubbleSize>
            <c:numRef>
              <c:f>'Graph Data'!$H$10</c:f>
              <c:numCache>
                <c:formatCode>0</c:formatCode>
                <c:ptCount val="1"/>
                <c:pt idx="0">
                  <c:v>91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5365-7442-9C76-7EE26AF870CC}"/>
            </c:ext>
          </c:extLst>
        </c:ser>
        <c:ser>
          <c:idx val="3"/>
          <c:order val="3"/>
          <c:tx>
            <c:strRef>
              <c:f>'Graph Data'!$J$11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65-7442-9C76-7EE26AF870CC}"/>
              </c:ext>
            </c:extLst>
          </c:dPt>
          <c:dLbls>
            <c:dLbl>
              <c:idx val="0"/>
              <c:layout>
                <c:manualLayout>
                  <c:x val="-5.7216393657164551E-3"/>
                  <c:y val="-6.7952978965448016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Data'!$F$11</c:f>
              <c:numCache>
                <c:formatCode>0.00</c:formatCode>
                <c:ptCount val="1"/>
                <c:pt idx="0">
                  <c:v>0.47463679567859529</c:v>
                </c:pt>
              </c:numCache>
            </c:numRef>
          </c:xVal>
          <c:yVal>
            <c:numRef>
              <c:f>'Graph Data'!$G$11</c:f>
              <c:numCache>
                <c:formatCode>0.00</c:formatCode>
                <c:ptCount val="1"/>
                <c:pt idx="0">
                  <c:v>0.19760484521625377</c:v>
                </c:pt>
              </c:numCache>
            </c:numRef>
          </c:yVal>
          <c:bubbleSize>
            <c:numRef>
              <c:f>'Graph Data'!$H$11</c:f>
              <c:numCache>
                <c:formatCode>0</c:formatCode>
                <c:ptCount val="1"/>
                <c:pt idx="0">
                  <c:v>27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5365-7442-9C76-7EE26AF870CC}"/>
            </c:ext>
          </c:extLst>
        </c:ser>
        <c:ser>
          <c:idx val="4"/>
          <c:order val="4"/>
          <c:tx>
            <c:strRef>
              <c:f>'Graph Data'!$J$12</c:f>
              <c:strCache>
                <c:ptCount val="1"/>
                <c:pt idx="0">
                  <c:v>Echo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31737418520611893"/>
                  <c:y val="-1.11590093668004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Data'!$F$12</c:f>
              <c:numCache>
                <c:formatCode>0.00</c:formatCode>
                <c:ptCount val="1"/>
                <c:pt idx="0">
                  <c:v>0.69046982219668973</c:v>
                </c:pt>
              </c:numCache>
            </c:numRef>
          </c:xVal>
          <c:yVal>
            <c:numRef>
              <c:f>'Graph Data'!$G$12</c:f>
              <c:numCache>
                <c:formatCode>0.00</c:formatCode>
                <c:ptCount val="1"/>
                <c:pt idx="0">
                  <c:v>0.8387682613687002</c:v>
                </c:pt>
              </c:numCache>
            </c:numRef>
          </c:yVal>
          <c:bubbleSize>
            <c:numRef>
              <c:f>'Graph Data'!$H$12</c:f>
              <c:numCache>
                <c:formatCode>0</c:formatCode>
                <c:ptCount val="1"/>
                <c:pt idx="0">
                  <c:v>49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5365-7442-9C76-7EE26AF870CC}"/>
            </c:ext>
          </c:extLst>
        </c:ser>
        <c:ser>
          <c:idx val="5"/>
          <c:order val="5"/>
          <c:tx>
            <c:strRef>
              <c:f>'Graph Data'!$J$13</c:f>
              <c:strCache>
                <c:ptCount val="1"/>
                <c:pt idx="0">
                  <c:v>Foxtrot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65-7442-9C76-7EE26AF870CC}"/>
              </c:ext>
            </c:extLst>
          </c:dPt>
          <c:dLbls>
            <c:dLbl>
              <c:idx val="0"/>
              <c:layout>
                <c:manualLayout>
                  <c:x val="-0.15613592203093687"/>
                  <c:y val="0.101456232115476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60259812291329"/>
                      <c:h val="0.111374929410917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Data'!$F$13</c:f>
              <c:numCache>
                <c:formatCode>0.00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'Graph Data'!$G$13</c:f>
              <c:numCache>
                <c:formatCode>0.00</c:formatCode>
                <c:ptCount val="1"/>
                <c:pt idx="0">
                  <c:v>1.1000000000000001</c:v>
                </c:pt>
              </c:numCache>
            </c:numRef>
          </c:yVal>
          <c:bubbleSize>
            <c:numRef>
              <c:f>'Graph Data'!$H$13</c:f>
              <c:numCache>
                <c:formatCode>0</c:formatCode>
                <c:ptCount val="1"/>
                <c:pt idx="0">
                  <c:v>47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5365-7442-9C76-7EE26AF870CC}"/>
            </c:ext>
          </c:extLst>
        </c:ser>
        <c:ser>
          <c:idx val="6"/>
          <c:order val="6"/>
          <c:tx>
            <c:strRef>
              <c:f>'Graph Data'!$J$14</c:f>
              <c:strCache>
                <c:ptCount val="1"/>
                <c:pt idx="0">
                  <c:v>Golf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5885096080441466"/>
                  <c:y val="-1.582721777341571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Data'!$F$14</c:f>
              <c:numCache>
                <c:formatCode>0.00</c:formatCode>
                <c:ptCount val="1"/>
                <c:pt idx="0">
                  <c:v>0.72170580703768616</c:v>
                </c:pt>
              </c:numCache>
            </c:numRef>
          </c:xVal>
          <c:yVal>
            <c:numRef>
              <c:f>'Graph Data'!$G$14</c:f>
              <c:numCache>
                <c:formatCode>0.00</c:formatCode>
                <c:ptCount val="1"/>
                <c:pt idx="0">
                  <c:v>1.0977796870482202</c:v>
                </c:pt>
              </c:numCache>
            </c:numRef>
          </c:yVal>
          <c:bubbleSize>
            <c:numRef>
              <c:f>'Graph Data'!$H$14</c:f>
              <c:numCache>
                <c:formatCode>0</c:formatCode>
                <c:ptCount val="1"/>
                <c:pt idx="0">
                  <c:v>27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D-5365-7442-9C76-7EE26AF870CC}"/>
            </c:ext>
          </c:extLst>
        </c:ser>
        <c:ser>
          <c:idx val="7"/>
          <c:order val="7"/>
          <c:tx>
            <c:strRef>
              <c:f>'Graph Data'!$J$15</c:f>
              <c:strCache>
                <c:ptCount val="1"/>
                <c:pt idx="0">
                  <c:v>Hotel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4286867188692832"/>
                  <c:y val="-7.03818786107827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Data'!$F$15</c:f>
              <c:numCache>
                <c:formatCode>0.00</c:formatCode>
                <c:ptCount val="1"/>
                <c:pt idx="0">
                  <c:v>0.57936968789497145</c:v>
                </c:pt>
              </c:numCache>
            </c:numRef>
          </c:xVal>
          <c:yVal>
            <c:numRef>
              <c:f>'Graph Data'!$G$15</c:f>
              <c:numCache>
                <c:formatCode>0.00</c:formatCode>
                <c:ptCount val="1"/>
                <c:pt idx="0">
                  <c:v>0.33940208700593144</c:v>
                </c:pt>
              </c:numCache>
            </c:numRef>
          </c:yVal>
          <c:bubbleSize>
            <c:numRef>
              <c:f>'Graph Data'!$H$15</c:f>
              <c:numCache>
                <c:formatCode>0</c:formatCode>
                <c:ptCount val="1"/>
                <c:pt idx="0">
                  <c:v>10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E-5365-7442-9C76-7EE26AF870CC}"/>
            </c:ext>
          </c:extLst>
        </c:ser>
        <c:ser>
          <c:idx val="8"/>
          <c:order val="8"/>
          <c:tx>
            <c:strRef>
              <c:f>'Graph Data'!$J$16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6.169563984557333E-2"/>
                  <c:y val="-8.97140371617854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Data'!$F$16</c:f>
              <c:numCache>
                <c:formatCode>0.00</c:formatCode>
                <c:ptCount val="1"/>
                <c:pt idx="0">
                  <c:v>0.1</c:v>
                </c:pt>
              </c:numCache>
            </c:numRef>
          </c:xVal>
          <c:yVal>
            <c:numRef>
              <c:f>'Graph Data'!$G$16</c:f>
              <c:numCache>
                <c:formatCode>0.00</c:formatCode>
                <c:ptCount val="1"/>
                <c:pt idx="0">
                  <c:v>0.22801373856027121</c:v>
                </c:pt>
              </c:numCache>
            </c:numRef>
          </c:yVal>
          <c:bubbleSize>
            <c:numRef>
              <c:f>'Graph Data'!$H$16</c:f>
              <c:numCache>
                <c:formatCode>0</c:formatCode>
                <c:ptCount val="1"/>
                <c:pt idx="0">
                  <c:v>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F-5365-7442-9C76-7EE26AF870CC}"/>
            </c:ext>
          </c:extLst>
        </c:ser>
        <c:ser>
          <c:idx val="9"/>
          <c:order val="9"/>
          <c:tx>
            <c:strRef>
              <c:f>'Graph Data'!$J$17</c:f>
              <c:strCache>
                <c:ptCount val="1"/>
                <c:pt idx="0">
                  <c:v>Juliett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15091783540907808"/>
                  <c:y val="-0.156015703419508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Data'!$F$17</c:f>
              <c:numCache>
                <c:formatCode>0.00</c:formatCode>
                <c:ptCount val="1"/>
                <c:pt idx="0">
                  <c:v>0.42823061418605846</c:v>
                </c:pt>
              </c:numCache>
            </c:numRef>
          </c:xVal>
          <c:yVal>
            <c:numRef>
              <c:f>'Graph Data'!$G$17</c:f>
              <c:numCache>
                <c:formatCode>0.00</c:formatCode>
                <c:ptCount val="1"/>
                <c:pt idx="0">
                  <c:v>0.1</c:v>
                </c:pt>
              </c:numCache>
            </c:numRef>
          </c:yVal>
          <c:bubbleSize>
            <c:numRef>
              <c:f>'Graph Data'!$H$17</c:f>
              <c:numCache>
                <c:formatCode>0</c:formatCode>
                <c:ptCount val="1"/>
                <c:pt idx="0">
                  <c:v>18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0-5365-7442-9C76-7EE26AF870CC}"/>
            </c:ext>
          </c:extLst>
        </c:ser>
        <c:ser>
          <c:idx val="10"/>
          <c:order val="10"/>
          <c:tx>
            <c:strRef>
              <c:f>'Graph Data'!$J$18</c:f>
              <c:strCache>
                <c:ptCount val="1"/>
                <c:pt idx="0">
                  <c:v>Kilo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14208192466246439"/>
                  <c:y val="-0.11151100800785171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Data'!$F$18</c:f>
              <c:numCache>
                <c:formatCode>0.00</c:formatCode>
                <c:ptCount val="1"/>
                <c:pt idx="0">
                  <c:v>0.9449825750287526</c:v>
                </c:pt>
              </c:numCache>
            </c:numRef>
          </c:xVal>
          <c:yVal>
            <c:numRef>
              <c:f>'Graph Data'!$G$18</c:f>
              <c:numCache>
                <c:formatCode>0.00</c:formatCode>
                <c:ptCount val="1"/>
                <c:pt idx="0">
                  <c:v>0.4562363094267714</c:v>
                </c:pt>
              </c:numCache>
            </c:numRef>
          </c:yVal>
          <c:bubbleSize>
            <c:numRef>
              <c:f>'Graph Data'!$H$18</c:f>
              <c:numCache>
                <c:formatCode>0</c:formatCode>
                <c:ptCount val="1"/>
                <c:pt idx="0">
                  <c:v>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1-5365-7442-9C76-7EE26AF870CC}"/>
            </c:ext>
          </c:extLst>
        </c:ser>
        <c:ser>
          <c:idx val="11"/>
          <c:order val="11"/>
          <c:tx>
            <c:strRef>
              <c:f>'Graph Data'!$J$19</c:f>
              <c:strCache>
                <c:ptCount val="1"/>
                <c:pt idx="0">
                  <c:v>Lima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5074314943103754"/>
                  <c:y val="1.17856981773067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Data'!$F$19</c:f>
              <c:numCache>
                <c:formatCode>0.00</c:formatCode>
                <c:ptCount val="1"/>
                <c:pt idx="0">
                  <c:v>0.60826281074496313</c:v>
                </c:pt>
              </c:numCache>
            </c:numRef>
          </c:xVal>
          <c:yVal>
            <c:numRef>
              <c:f>'Graph Data'!$G$19</c:f>
              <c:numCache>
                <c:formatCode>0.00</c:formatCode>
                <c:ptCount val="1"/>
                <c:pt idx="0">
                  <c:v>0.66586451513551881</c:v>
                </c:pt>
              </c:numCache>
            </c:numRef>
          </c:yVal>
          <c:bubbleSize>
            <c:numRef>
              <c:f>'Graph Data'!$H$19</c:f>
              <c:numCache>
                <c:formatCode>0</c:formatCode>
                <c:ptCount val="1"/>
                <c:pt idx="0">
                  <c:v>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2-5365-7442-9C76-7EE26AF870CC}"/>
            </c:ext>
          </c:extLst>
        </c:ser>
        <c:ser>
          <c:idx val="12"/>
          <c:order val="12"/>
          <c:tx>
            <c:strRef>
              <c:f>'Graph Data'!$J$20</c:f>
              <c:strCache>
                <c:ptCount val="1"/>
                <c:pt idx="0">
                  <c:v>Mike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5.4701507186947895E-3"/>
                  <c:y val="5.45603674540676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F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Data'!$F$20</c:f>
              <c:numCache>
                <c:formatCode>0.00</c:formatCode>
                <c:ptCount val="1"/>
                <c:pt idx="0">
                  <c:v>0.77630123777822291</c:v>
                </c:pt>
              </c:numCache>
            </c:numRef>
          </c:xVal>
          <c:yVal>
            <c:numRef>
              <c:f>'Graph Data'!$G$20</c:f>
              <c:numCache>
                <c:formatCode>0.00</c:formatCode>
                <c:ptCount val="1"/>
                <c:pt idx="0">
                  <c:v>0.83208736955661289</c:v>
                </c:pt>
              </c:numCache>
            </c:numRef>
          </c:yVal>
          <c:bubbleSize>
            <c:numRef>
              <c:f>'Graph Data'!$H$20</c:f>
              <c:numCache>
                <c:formatCode>0</c:formatCode>
                <c:ptCount val="1"/>
                <c:pt idx="0">
                  <c:v>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3-5365-7442-9C76-7EE26AF870CC}"/>
            </c:ext>
          </c:extLst>
        </c:ser>
        <c:ser>
          <c:idx val="13"/>
          <c:order val="13"/>
          <c:tx>
            <c:strRef>
              <c:f>'Graph Data'!$J$21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26377117961509494"/>
                  <c:y val="-6.70147965444400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365-7442-9C76-7EE26AF87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'Graph Data'!$F$21</c:f>
              <c:numCache>
                <c:formatCode>0.00</c:formatCode>
                <c:ptCount val="1"/>
                <c:pt idx="0">
                  <c:v>0.72215784187953924</c:v>
                </c:pt>
              </c:numCache>
            </c:numRef>
          </c:xVal>
          <c:yVal>
            <c:numRef>
              <c:f>'Graph Data'!$G$21</c:f>
              <c:numCache>
                <c:formatCode>0.00</c:formatCode>
                <c:ptCount val="1"/>
                <c:pt idx="0">
                  <c:v>0.90541680164671312</c:v>
                </c:pt>
              </c:numCache>
            </c:numRef>
          </c:yVal>
          <c:bubbleSize>
            <c:numRef>
              <c:f>'Graph Data'!$H$21</c:f>
              <c:numCache>
                <c:formatCode>0</c:formatCode>
                <c:ptCount val="1"/>
                <c:pt idx="0">
                  <c:v>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4-5365-7442-9C76-7EE26AF8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149178143"/>
        <c:axId val="149178543"/>
      </c:bubbleChart>
      <c:valAx>
        <c:axId val="149178143"/>
        <c:scaling>
          <c:orientation val="minMax"/>
          <c:max val="1.2"/>
          <c:min val="-0.1"/>
        </c:scaling>
        <c:delete val="1"/>
        <c:axPos val="b"/>
        <c:numFmt formatCode="0.00" sourceLinked="1"/>
        <c:majorTickMark val="out"/>
        <c:minorTickMark val="none"/>
        <c:tickLblPos val="nextTo"/>
        <c:crossAx val="149178543"/>
        <c:crosses val="autoZero"/>
        <c:crossBetween val="midCat"/>
      </c:valAx>
      <c:valAx>
        <c:axId val="149178543"/>
        <c:scaling>
          <c:orientation val="minMax"/>
          <c:max val="1.2"/>
          <c:min val="-0.1"/>
        </c:scaling>
        <c:delete val="1"/>
        <c:axPos val="l"/>
        <c:numFmt formatCode="0.00" sourceLinked="1"/>
        <c:majorTickMark val="out"/>
        <c:minorTickMark val="none"/>
        <c:tickLblPos val="nextTo"/>
        <c:crossAx val="14917814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29</xdr:row>
      <xdr:rowOff>266700</xdr:rowOff>
    </xdr:from>
    <xdr:to>
      <xdr:col>6</xdr:col>
      <xdr:colOff>1302779</xdr:colOff>
      <xdr:row>42</xdr:row>
      <xdr:rowOff>159779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9723A9D-B58B-B348-8D64-301D969C9E75}"/>
            </a:ext>
          </a:extLst>
        </xdr:cNvPr>
        <xdr:cNvGrpSpPr/>
      </xdr:nvGrpSpPr>
      <xdr:grpSpPr>
        <a:xfrm>
          <a:off x="5880100" y="6350000"/>
          <a:ext cx="3258579" cy="3258579"/>
          <a:chOff x="6057036" y="1877937"/>
          <a:chExt cx="3476320" cy="347632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8582306-8711-2C41-8860-34ED6103C603}"/>
              </a:ext>
            </a:extLst>
          </xdr:cNvPr>
          <xdr:cNvSpPr/>
        </xdr:nvSpPr>
        <xdr:spPr>
          <a:xfrm>
            <a:off x="6057036" y="1877937"/>
            <a:ext cx="3476311" cy="3476311"/>
          </a:xfrm>
          <a:prstGeom prst="rect">
            <a:avLst/>
          </a:prstGeom>
          <a:noFill/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E36A1912-CE91-4542-974B-4002457EBF67}"/>
              </a:ext>
            </a:extLst>
          </xdr:cNvPr>
          <xdr:cNvSpPr/>
        </xdr:nvSpPr>
        <xdr:spPr>
          <a:xfrm>
            <a:off x="6057037" y="1877938"/>
            <a:ext cx="1158773" cy="115877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BE43976-CF7F-4945-9F5C-AC5627B7DF3B}"/>
              </a:ext>
            </a:extLst>
          </xdr:cNvPr>
          <xdr:cNvSpPr/>
        </xdr:nvSpPr>
        <xdr:spPr>
          <a:xfrm>
            <a:off x="7215810" y="1877938"/>
            <a:ext cx="1158773" cy="115877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0CF50F5-C70D-0242-9A26-CC789752ECB0}"/>
              </a:ext>
            </a:extLst>
          </xdr:cNvPr>
          <xdr:cNvSpPr/>
        </xdr:nvSpPr>
        <xdr:spPr>
          <a:xfrm>
            <a:off x="8374583" y="1877938"/>
            <a:ext cx="1158773" cy="1158773"/>
          </a:xfrm>
          <a:prstGeom prst="rect">
            <a:avLst/>
          </a:prstGeom>
          <a:solidFill>
            <a:schemeClr val="accent1">
              <a:lumMod val="75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748E8A5-3851-9842-8C9A-5E46F7D1C0FD}"/>
              </a:ext>
            </a:extLst>
          </xdr:cNvPr>
          <xdr:cNvSpPr/>
        </xdr:nvSpPr>
        <xdr:spPr>
          <a:xfrm>
            <a:off x="6057037" y="3036711"/>
            <a:ext cx="1158773" cy="1158773"/>
          </a:xfrm>
          <a:prstGeom prst="rect">
            <a:avLst/>
          </a:prstGeom>
          <a:solidFill>
            <a:schemeClr val="bg1">
              <a:lumMod val="95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D2DFA78A-88FA-BE48-AABE-596584601FC2}"/>
              </a:ext>
            </a:extLst>
          </xdr:cNvPr>
          <xdr:cNvSpPr/>
        </xdr:nvSpPr>
        <xdr:spPr>
          <a:xfrm>
            <a:off x="7215810" y="3036711"/>
            <a:ext cx="1158773" cy="115877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C4D1D109-4FEC-124E-BDFA-95AF15BFA13C}"/>
              </a:ext>
            </a:extLst>
          </xdr:cNvPr>
          <xdr:cNvSpPr/>
        </xdr:nvSpPr>
        <xdr:spPr>
          <a:xfrm>
            <a:off x="8374583" y="3036711"/>
            <a:ext cx="1158773" cy="1158773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DA5AEF6-CCF9-D842-B4E8-FD8FAD9BAB1B}"/>
              </a:ext>
            </a:extLst>
          </xdr:cNvPr>
          <xdr:cNvSpPr/>
        </xdr:nvSpPr>
        <xdr:spPr>
          <a:xfrm>
            <a:off x="6057037" y="4195484"/>
            <a:ext cx="1158773" cy="1158773"/>
          </a:xfrm>
          <a:prstGeom prst="rect">
            <a:avLst/>
          </a:prstGeom>
          <a:solidFill>
            <a:schemeClr val="bg1">
              <a:lumMod val="85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705A40F8-9919-D24D-953B-96CB295AF2A1}"/>
              </a:ext>
            </a:extLst>
          </xdr:cNvPr>
          <xdr:cNvSpPr/>
        </xdr:nvSpPr>
        <xdr:spPr>
          <a:xfrm>
            <a:off x="7215810" y="4195484"/>
            <a:ext cx="1158773" cy="1158773"/>
          </a:xfrm>
          <a:prstGeom prst="rect">
            <a:avLst/>
          </a:prstGeom>
          <a:solidFill>
            <a:schemeClr val="bg1">
              <a:lumMod val="95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55D5FC3-0370-0B4C-A4C0-DE836DB13FF4}"/>
              </a:ext>
            </a:extLst>
          </xdr:cNvPr>
          <xdr:cNvSpPr/>
        </xdr:nvSpPr>
        <xdr:spPr>
          <a:xfrm>
            <a:off x="8374583" y="4195484"/>
            <a:ext cx="1158773" cy="1158773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3</xdr:col>
      <xdr:colOff>88901</xdr:colOff>
      <xdr:row>28</xdr:row>
      <xdr:rowOff>127000</xdr:rowOff>
    </xdr:from>
    <xdr:to>
      <xdr:col>7</xdr:col>
      <xdr:colOff>304801</xdr:colOff>
      <xdr:row>45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54C3B5-56A8-4948-942F-EC1BCEED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27F2-9B61-2E40-A655-FF21DEC819CD}">
  <sheetPr>
    <tabColor rgb="FF0070C0"/>
  </sheetPr>
  <dimension ref="B2:V32"/>
  <sheetViews>
    <sheetView showGridLines="0" tabSelected="1" zoomScaleNormal="100" workbookViewId="0">
      <selection activeCell="F27" sqref="F27"/>
    </sheetView>
  </sheetViews>
  <sheetFormatPr baseColWidth="10" defaultRowHeight="16" x14ac:dyDescent="0.2"/>
  <cols>
    <col min="1" max="1" width="4.6640625" style="1" customWidth="1"/>
    <col min="2" max="2" width="38.6640625" style="1" bestFit="1" customWidth="1"/>
    <col min="3" max="3" width="25.5" style="1" bestFit="1" customWidth="1"/>
    <col min="4" max="4" width="2.33203125" style="1" customWidth="1"/>
    <col min="5" max="5" width="6.1640625" style="1" customWidth="1"/>
    <col min="6" max="6" width="25.5" style="1" customWidth="1"/>
    <col min="7" max="7" width="23.33203125" style="1" customWidth="1"/>
    <col min="8" max="8" width="28.6640625" style="1" customWidth="1"/>
    <col min="9" max="9" width="2.5" style="1" customWidth="1"/>
    <col min="10" max="10" width="59.5" style="1" customWidth="1"/>
    <col min="11" max="11" width="2.83203125" style="1" customWidth="1"/>
    <col min="12" max="12" width="30.5" style="23" bestFit="1" customWidth="1"/>
    <col min="13" max="13" width="17.1640625" style="23" bestFit="1" customWidth="1"/>
    <col min="14" max="14" width="22.1640625" style="23" customWidth="1"/>
    <col min="15" max="15" width="3" style="1" customWidth="1"/>
    <col min="16" max="16" width="36.5" style="1" customWidth="1"/>
    <col min="17" max="17" width="15.6640625" style="1" customWidth="1"/>
    <col min="18" max="18" width="17.33203125" style="1" bestFit="1" customWidth="1"/>
    <col min="19" max="19" width="3.33203125" style="1" customWidth="1"/>
    <col min="20" max="20" width="36.6640625" style="1" bestFit="1" customWidth="1"/>
    <col min="21" max="21" width="34.33203125" style="1" bestFit="1" customWidth="1"/>
    <col min="22" max="22" width="26.5" style="1" bestFit="1" customWidth="1"/>
    <col min="23" max="16384" width="10.83203125" style="1"/>
  </cols>
  <sheetData>
    <row r="2" spans="2:22" x14ac:dyDescent="0.2">
      <c r="B2" s="2" t="s">
        <v>0</v>
      </c>
      <c r="C2" s="30"/>
      <c r="D2" s="3"/>
      <c r="F2" s="3"/>
      <c r="G2" s="3"/>
      <c r="H2" s="3"/>
      <c r="I2" s="3"/>
      <c r="J2" s="3"/>
      <c r="K2" s="3"/>
      <c r="O2" s="3"/>
      <c r="P2" s="3"/>
      <c r="Q2" s="3"/>
      <c r="R2" s="3"/>
      <c r="S2" s="3"/>
      <c r="T2" s="3"/>
      <c r="U2" s="3"/>
    </row>
    <row r="3" spans="2:22" ht="17" thickBot="1" x14ac:dyDescent="0.25">
      <c r="B3" s="3"/>
      <c r="C3" s="3"/>
      <c r="D3" s="3"/>
      <c r="F3" s="3"/>
      <c r="G3" s="3"/>
      <c r="H3" s="3"/>
      <c r="I3" s="3"/>
      <c r="J3" s="3"/>
      <c r="K3" s="3"/>
      <c r="O3" s="3"/>
      <c r="P3" s="3"/>
      <c r="Q3" s="3"/>
      <c r="R3" s="3"/>
      <c r="S3" s="3"/>
      <c r="T3" s="3"/>
      <c r="U3" s="3"/>
    </row>
    <row r="4" spans="2:22" ht="17" thickBot="1" x14ac:dyDescent="0.25">
      <c r="B4" s="4" t="s">
        <v>1</v>
      </c>
      <c r="C4" s="5"/>
      <c r="D4" s="3"/>
      <c r="F4" s="3"/>
      <c r="G4" s="3"/>
      <c r="H4" s="3"/>
      <c r="I4" s="3"/>
      <c r="J4" s="3"/>
      <c r="K4" s="3"/>
      <c r="O4" s="3"/>
      <c r="P4" s="3"/>
      <c r="Q4" s="3"/>
      <c r="R4" s="3"/>
      <c r="S4" s="3"/>
      <c r="T4" s="3"/>
      <c r="U4" s="3"/>
    </row>
    <row r="5" spans="2:22" ht="17" thickBot="1" x14ac:dyDescent="0.25">
      <c r="B5" s="4" t="s">
        <v>2</v>
      </c>
      <c r="C5" s="6"/>
      <c r="D5" s="3"/>
      <c r="F5" s="13" t="s">
        <v>66</v>
      </c>
      <c r="G5" s="3"/>
      <c r="H5" s="3"/>
      <c r="I5" s="3"/>
      <c r="J5" s="3"/>
      <c r="K5" s="3"/>
      <c r="L5" s="28" t="s">
        <v>9</v>
      </c>
      <c r="M5" s="28"/>
      <c r="N5" s="28"/>
      <c r="O5" s="3"/>
      <c r="P5" s="28" t="s">
        <v>10</v>
      </c>
      <c r="Q5" s="28"/>
      <c r="R5" s="28"/>
      <c r="S5" s="3"/>
      <c r="T5" s="29" t="s">
        <v>11</v>
      </c>
      <c r="U5" s="3"/>
    </row>
    <row r="6" spans="2:22" ht="17" thickBot="1" x14ac:dyDescent="0.25">
      <c r="D6" s="3"/>
      <c r="F6" s="3"/>
      <c r="G6" s="3"/>
      <c r="H6" s="3"/>
      <c r="I6" s="3"/>
      <c r="J6" s="3"/>
      <c r="K6" s="3"/>
      <c r="O6" s="3"/>
      <c r="P6" s="3"/>
      <c r="Q6" s="3"/>
      <c r="R6" s="3"/>
      <c r="S6" s="3"/>
      <c r="T6" s="3"/>
      <c r="U6" s="3"/>
    </row>
    <row r="7" spans="2:22" x14ac:dyDescent="0.2">
      <c r="B7" s="48" t="s">
        <v>3</v>
      </c>
      <c r="C7" s="48" t="s">
        <v>5</v>
      </c>
      <c r="D7" s="3"/>
      <c r="F7" s="50" t="s">
        <v>30</v>
      </c>
      <c r="G7" s="51" t="s">
        <v>25</v>
      </c>
      <c r="H7" s="51" t="s">
        <v>15</v>
      </c>
      <c r="I7" s="3"/>
      <c r="J7" s="48" t="s">
        <v>16</v>
      </c>
      <c r="K7" s="3"/>
      <c r="L7" s="52" t="s">
        <v>18</v>
      </c>
      <c r="M7" s="52" t="s">
        <v>29</v>
      </c>
      <c r="N7" s="52" t="s">
        <v>30</v>
      </c>
      <c r="O7" s="3"/>
      <c r="P7" s="52" t="s">
        <v>19</v>
      </c>
      <c r="Q7" s="52" t="s">
        <v>17</v>
      </c>
      <c r="R7" s="52" t="s">
        <v>25</v>
      </c>
      <c r="S7" s="3"/>
      <c r="T7" s="48" t="s">
        <v>50</v>
      </c>
      <c r="U7" s="51" t="s">
        <v>51</v>
      </c>
      <c r="V7" s="48" t="s">
        <v>5</v>
      </c>
    </row>
    <row r="8" spans="2:22" x14ac:dyDescent="0.2">
      <c r="B8" s="7" t="s">
        <v>32</v>
      </c>
      <c r="C8" s="8" t="s">
        <v>31</v>
      </c>
      <c r="D8" s="3"/>
      <c r="F8" s="15">
        <f t="shared" ref="F8:F21" si="0">0.1+(IFERROR(LN((M8/$M$22)*$C$32),"")-MIN($N$8:$N$21))/(MAX($N$8:$N$21)-MIN($N$8:$N$21))</f>
        <v>0.80669459769970153</v>
      </c>
      <c r="G8" s="44">
        <f t="shared" ref="G8:G21" si="1">0.1+(IFERROR(LN(Q8/$Q$22*$C$32),"")-MIN($R$8:$R$21))/(MAX($R$8:$R$21)-MIN($R$8:$R$21))</f>
        <v>0.33940208700593144</v>
      </c>
      <c r="H8" s="35">
        <v>19</v>
      </c>
      <c r="I8" s="3"/>
      <c r="J8" s="8" t="s">
        <v>52</v>
      </c>
      <c r="K8" s="3"/>
      <c r="L8" s="32">
        <v>62</v>
      </c>
      <c r="M8" s="39">
        <f>H8/(L8/100)</f>
        <v>30.64516129032258</v>
      </c>
      <c r="N8" s="39">
        <f t="shared" ref="N8:N21" si="2">IFERROR(LN((M8/$M$22)*$C$32),"")</f>
        <v>2.7028710300126644</v>
      </c>
      <c r="O8" s="33"/>
      <c r="P8" s="32">
        <v>1</v>
      </c>
      <c r="Q8" s="41">
        <f>P8/L8</f>
        <v>1.6129032258064516E-2</v>
      </c>
      <c r="R8" s="39">
        <f t="shared" ref="R8:R21" si="3">IFERROR(LN(Q8/$Q$22*$C$32),"")</f>
        <v>2.0429053938972235</v>
      </c>
      <c r="S8" s="3"/>
      <c r="T8" s="24" t="str">
        <f>IF($F8&lt;$B$19,$C$19,IF(AND($F8&gt;=$B$19,$F8&lt;$B$20),$C$20,IF(AND($F8&gt;=$B$20,$F8&lt;=$B$21),$C$21)))</f>
        <v>High</v>
      </c>
      <c r="U8" s="19" t="str">
        <f>IF($G8&lt;$B$25,$C$25,IF(AND($G8&gt;=$B$25,$G8&lt;$B$26),$C$26,IF(AND($G8&gt;=$B$26,$G8&lt;=$B$27),$C$27)))</f>
        <v>Low</v>
      </c>
      <c r="V8" s="26" t="str">
        <f t="shared" ref="V8:V21" si="4">IF(AND(T8=$C$19,U8=$C$27),$C$8,IF(AND(T8=$C$19,U8=$C$26),$C$9,IF(AND(T8=$C$19,U8=$C$25),$C$10,IF(AND(T8=$C$20,U8=$C$27),$C$11,IF(AND(T8=$C$20,U8=$C$26),$C$12,IF(AND(T8=$C$20,U8=$C$25),$C$13,IF(AND(T8=$C$21,U8=$C$27),$C$14,IF(AND(T8=$C$21,U8=$C$26),$C$15,$C$16))))))))</f>
        <v>PANDORA'S BOX</v>
      </c>
    </row>
    <row r="9" spans="2:22" x14ac:dyDescent="0.2">
      <c r="B9" s="7" t="s">
        <v>33</v>
      </c>
      <c r="C9" s="8" t="s">
        <v>34</v>
      </c>
      <c r="D9" s="3"/>
      <c r="F9" s="15">
        <f t="shared" si="0"/>
        <v>0.35546867581592456</v>
      </c>
      <c r="G9" s="44">
        <f t="shared" si="1"/>
        <v>0.13416956377879796</v>
      </c>
      <c r="H9" s="35">
        <v>21</v>
      </c>
      <c r="I9" s="3"/>
      <c r="J9" s="8" t="s">
        <v>53</v>
      </c>
      <c r="K9" s="3"/>
      <c r="L9" s="32">
        <v>245</v>
      </c>
      <c r="M9" s="39">
        <f t="shared" ref="M9:M22" si="5">H9/(L9/100)</f>
        <v>8.5714285714285712</v>
      </c>
      <c r="N9" s="39">
        <f t="shared" si="2"/>
        <v>1.4288306630700114</v>
      </c>
      <c r="O9" s="33"/>
      <c r="P9" s="32">
        <v>3</v>
      </c>
      <c r="Q9" s="41">
        <f t="shared" ref="Q9:Q21" si="6">P9/L9</f>
        <v>1.2244897959183673E-2</v>
      </c>
      <c r="R9" s="39">
        <f t="shared" si="3"/>
        <v>1.7673938570656977</v>
      </c>
      <c r="S9" s="3"/>
      <c r="T9" s="24" t="str">
        <f t="shared" ref="T9:T21" si="7">IF($F9&lt;$B$19,$C$19,IF(AND($F9&gt;=$B$19,$F9&lt;$B$20),$C$20,IF(AND($F9&gt;=$B$20,$F9&lt;=$B$21),$C$21)))</f>
        <v>Low</v>
      </c>
      <c r="U9" s="19" t="str">
        <f t="shared" ref="U9:U21" si="8">IF($G9&lt;$B$25,$C$25,IF(AND($G9&gt;=$B$25,$G9&lt;$B$26),$C$26,IF(AND($G9&gt;=$B$26,$G9&lt;=$B$27),$C$27)))</f>
        <v>Low</v>
      </c>
      <c r="V9" s="26" t="str">
        <f t="shared" si="4"/>
        <v>DOGS</v>
      </c>
    </row>
    <row r="10" spans="2:22" x14ac:dyDescent="0.2">
      <c r="B10" s="7" t="s">
        <v>35</v>
      </c>
      <c r="C10" s="8" t="s">
        <v>36</v>
      </c>
      <c r="D10" s="3"/>
      <c r="F10" s="15">
        <f t="shared" si="0"/>
        <v>0.68390418977658052</v>
      </c>
      <c r="G10" s="44">
        <f t="shared" si="1"/>
        <v>0.46329716270786125</v>
      </c>
      <c r="H10" s="35">
        <v>91</v>
      </c>
      <c r="I10" s="3"/>
      <c r="J10" s="8" t="s">
        <v>54</v>
      </c>
      <c r="K10" s="3"/>
      <c r="L10" s="32">
        <v>420</v>
      </c>
      <c r="M10" s="39">
        <f t="shared" si="5"/>
        <v>21.666666666666664</v>
      </c>
      <c r="N10" s="39">
        <f t="shared" si="2"/>
        <v>2.3561712311307517</v>
      </c>
      <c r="O10" s="33"/>
      <c r="P10" s="32">
        <v>8</v>
      </c>
      <c r="Q10" s="41">
        <f t="shared" si="6"/>
        <v>1.9047619047619049E-2</v>
      </c>
      <c r="R10" s="39">
        <f t="shared" si="3"/>
        <v>2.209226609344737</v>
      </c>
      <c r="S10" s="3"/>
      <c r="T10" s="24" t="str">
        <f t="shared" si="7"/>
        <v>Average</v>
      </c>
      <c r="U10" s="19" t="str">
        <f t="shared" si="8"/>
        <v>Average</v>
      </c>
      <c r="V10" s="26" t="str">
        <f t="shared" si="4"/>
        <v>STRONG PERFORMERS</v>
      </c>
    </row>
    <row r="11" spans="2:22" x14ac:dyDescent="0.2">
      <c r="B11" s="7" t="s">
        <v>38</v>
      </c>
      <c r="C11" s="8" t="s">
        <v>43</v>
      </c>
      <c r="D11" s="3"/>
      <c r="F11" s="15">
        <f t="shared" si="0"/>
        <v>0.47463679567859529</v>
      </c>
      <c r="G11" s="44">
        <f t="shared" si="1"/>
        <v>0.19760484521625377</v>
      </c>
      <c r="H11" s="35">
        <v>27</v>
      </c>
      <c r="I11" s="3"/>
      <c r="J11" s="8" t="s">
        <v>55</v>
      </c>
      <c r="K11" s="3"/>
      <c r="L11" s="32">
        <v>225</v>
      </c>
      <c r="M11" s="39">
        <f t="shared" si="5"/>
        <v>12</v>
      </c>
      <c r="N11" s="39">
        <f t="shared" si="2"/>
        <v>1.7653028996912243</v>
      </c>
      <c r="O11" s="33"/>
      <c r="P11" s="32">
        <v>3</v>
      </c>
      <c r="Q11" s="41">
        <f t="shared" si="6"/>
        <v>1.3333333333333334E-2</v>
      </c>
      <c r="R11" s="39">
        <f t="shared" si="3"/>
        <v>1.8525516654060046</v>
      </c>
      <c r="S11" s="3"/>
      <c r="T11" s="24" t="str">
        <f t="shared" si="7"/>
        <v>Average</v>
      </c>
      <c r="U11" s="19" t="str">
        <f t="shared" si="8"/>
        <v>Low</v>
      </c>
      <c r="V11" s="26" t="str">
        <f t="shared" si="4"/>
        <v>UNPOLISHED GEMS</v>
      </c>
    </row>
    <row r="12" spans="2:22" x14ac:dyDescent="0.2">
      <c r="B12" s="7" t="s">
        <v>39</v>
      </c>
      <c r="C12" s="8" t="s">
        <v>44</v>
      </c>
      <c r="D12" s="3"/>
      <c r="F12" s="15">
        <f t="shared" si="0"/>
        <v>0.69046982219668973</v>
      </c>
      <c r="G12" s="44">
        <f t="shared" si="1"/>
        <v>0.8387682613687002</v>
      </c>
      <c r="H12" s="35">
        <v>49</v>
      </c>
      <c r="I12" s="3"/>
      <c r="J12" s="8" t="s">
        <v>56</v>
      </c>
      <c r="K12" s="3"/>
      <c r="L12" s="32">
        <v>222</v>
      </c>
      <c r="M12" s="39">
        <f t="shared" si="5"/>
        <v>22.072072072072071</v>
      </c>
      <c r="N12" s="39">
        <f t="shared" si="2"/>
        <v>2.3747093521296625</v>
      </c>
      <c r="O12" s="33"/>
      <c r="P12" s="32">
        <v>7</v>
      </c>
      <c r="Q12" s="41">
        <f t="shared" si="6"/>
        <v>3.1531531531531529E-2</v>
      </c>
      <c r="R12" s="39">
        <f t="shared" si="3"/>
        <v>2.7132725461253488</v>
      </c>
      <c r="S12" s="3"/>
      <c r="T12" s="24" t="str">
        <f t="shared" si="7"/>
        <v>Average</v>
      </c>
      <c r="U12" s="19" t="str">
        <f t="shared" si="8"/>
        <v>High</v>
      </c>
      <c r="V12" s="26" t="str">
        <f t="shared" si="4"/>
        <v>UNDERPRICED STARS</v>
      </c>
    </row>
    <row r="13" spans="2:22" x14ac:dyDescent="0.2">
      <c r="B13" s="7" t="s">
        <v>37</v>
      </c>
      <c r="C13" s="8" t="s">
        <v>45</v>
      </c>
      <c r="D13" s="3"/>
      <c r="F13" s="15">
        <f t="shared" si="0"/>
        <v>1.1000000000000001</v>
      </c>
      <c r="G13" s="44">
        <f t="shared" si="1"/>
        <v>1.1000000000000001</v>
      </c>
      <c r="H13" s="35">
        <v>47</v>
      </c>
      <c r="I13" s="3"/>
      <c r="J13" s="8" t="s">
        <v>57</v>
      </c>
      <c r="K13" s="3"/>
      <c r="L13" s="32">
        <v>67</v>
      </c>
      <c r="M13" s="39">
        <f t="shared" si="5"/>
        <v>70.149253731343279</v>
      </c>
      <c r="N13" s="39">
        <f t="shared" si="2"/>
        <v>3.531021418210408</v>
      </c>
      <c r="O13" s="33"/>
      <c r="P13" s="32">
        <v>3</v>
      </c>
      <c r="Q13" s="41">
        <f>P13/L13</f>
        <v>4.4776119402985072E-2</v>
      </c>
      <c r="R13" s="39">
        <f t="shared" si="3"/>
        <v>3.0639594482194585</v>
      </c>
      <c r="S13" s="3"/>
      <c r="T13" s="24" t="str">
        <f>IF($F13&lt;$B$19,$C$19,IF(AND($F13&gt;=$B$19,$F13&lt;$B$20),$C$20,IF(AND($F13&gt;=$B$20,$F13&lt;=$B$21),$C$21)))</f>
        <v>High</v>
      </c>
      <c r="U13" s="19" t="str">
        <f t="shared" si="8"/>
        <v>High</v>
      </c>
      <c r="V13" s="26" t="str">
        <f t="shared" si="4"/>
        <v>STARS</v>
      </c>
    </row>
    <row r="14" spans="2:22" ht="17" x14ac:dyDescent="0.2">
      <c r="B14" s="7" t="s">
        <v>40</v>
      </c>
      <c r="C14" s="22" t="s">
        <v>46</v>
      </c>
      <c r="D14" s="3"/>
      <c r="F14" s="15">
        <f t="shared" si="0"/>
        <v>0.72170580703768616</v>
      </c>
      <c r="G14" s="44">
        <f t="shared" si="1"/>
        <v>1.0977796870482202</v>
      </c>
      <c r="H14" s="35">
        <v>27</v>
      </c>
      <c r="I14" s="3"/>
      <c r="J14" s="8" t="s">
        <v>58</v>
      </c>
      <c r="K14" s="3"/>
      <c r="L14" s="32">
        <v>112</v>
      </c>
      <c r="M14" s="39">
        <f t="shared" si="5"/>
        <v>24.107142857142854</v>
      </c>
      <c r="N14" s="39">
        <f t="shared" si="2"/>
        <v>2.4629044306005499</v>
      </c>
      <c r="O14" s="33"/>
      <c r="P14" s="32">
        <v>5</v>
      </c>
      <c r="Q14" s="41">
        <f>P14/L14</f>
        <v>4.4642857142857144E-2</v>
      </c>
      <c r="R14" s="39">
        <f t="shared" si="3"/>
        <v>3.0609788200813206</v>
      </c>
      <c r="S14" s="3"/>
      <c r="T14" s="24" t="str">
        <f t="shared" si="7"/>
        <v>Average</v>
      </c>
      <c r="U14" s="19" t="str">
        <f t="shared" si="8"/>
        <v>High</v>
      </c>
      <c r="V14" s="26" t="str">
        <f t="shared" si="4"/>
        <v>UNDERPRICED STARS</v>
      </c>
    </row>
    <row r="15" spans="2:22" x14ac:dyDescent="0.2">
      <c r="B15" s="7" t="s">
        <v>41</v>
      </c>
      <c r="C15" s="8" t="s">
        <v>47</v>
      </c>
      <c r="F15" s="15">
        <f t="shared" si="0"/>
        <v>0.57936968789497145</v>
      </c>
      <c r="G15" s="44">
        <f t="shared" si="1"/>
        <v>0.33940208700593144</v>
      </c>
      <c r="H15" s="35">
        <v>10</v>
      </c>
      <c r="I15" s="3"/>
      <c r="J15" s="8" t="s">
        <v>59</v>
      </c>
      <c r="K15" s="3"/>
      <c r="L15" s="32">
        <v>62</v>
      </c>
      <c r="M15" s="39">
        <f t="shared" si="5"/>
        <v>16.129032258064516</v>
      </c>
      <c r="N15" s="39">
        <f t="shared" si="2"/>
        <v>2.0610171438402696</v>
      </c>
      <c r="O15" s="33"/>
      <c r="P15" s="32">
        <v>1</v>
      </c>
      <c r="Q15" s="41">
        <f t="shared" si="6"/>
        <v>1.6129032258064516E-2</v>
      </c>
      <c r="R15" s="39">
        <f t="shared" si="3"/>
        <v>2.0429053938972235</v>
      </c>
      <c r="S15" s="3"/>
      <c r="T15" s="24" t="str">
        <f t="shared" si="7"/>
        <v>Average</v>
      </c>
      <c r="U15" s="19" t="str">
        <f t="shared" si="8"/>
        <v>Low</v>
      </c>
      <c r="V15" s="26" t="str">
        <f t="shared" si="4"/>
        <v>UNPOLISHED GEMS</v>
      </c>
    </row>
    <row r="16" spans="2:22" ht="17" thickBot="1" x14ac:dyDescent="0.25">
      <c r="B16" s="9" t="s">
        <v>42</v>
      </c>
      <c r="C16" s="10" t="s">
        <v>48</v>
      </c>
      <c r="F16" s="15">
        <f t="shared" si="0"/>
        <v>0.1</v>
      </c>
      <c r="G16" s="44">
        <f t="shared" si="1"/>
        <v>0.22801373856027121</v>
      </c>
      <c r="H16" s="35">
        <v>3</v>
      </c>
      <c r="I16" s="3"/>
      <c r="J16" s="8" t="s">
        <v>60</v>
      </c>
      <c r="K16" s="3"/>
      <c r="L16" s="32">
        <v>72</v>
      </c>
      <c r="M16" s="39">
        <f t="shared" si="5"/>
        <v>4.166666666666667</v>
      </c>
      <c r="N16" s="39">
        <f t="shared" si="2"/>
        <v>0.70751260554336992</v>
      </c>
      <c r="O16" s="33"/>
      <c r="P16" s="32">
        <v>1</v>
      </c>
      <c r="Q16" s="41">
        <f t="shared" si="6"/>
        <v>1.3888888888888888E-2</v>
      </c>
      <c r="R16" s="39">
        <f t="shared" si="3"/>
        <v>1.8933736599262598</v>
      </c>
      <c r="S16" s="3"/>
      <c r="T16" s="24" t="str">
        <f t="shared" si="7"/>
        <v>Low</v>
      </c>
      <c r="U16" s="19" t="str">
        <f t="shared" si="8"/>
        <v>Low</v>
      </c>
      <c r="V16" s="26" t="str">
        <f t="shared" si="4"/>
        <v>DOGS</v>
      </c>
    </row>
    <row r="17" spans="2:22" ht="17" thickBot="1" x14ac:dyDescent="0.25">
      <c r="F17" s="15">
        <f t="shared" si="0"/>
        <v>0.42823061418605846</v>
      </c>
      <c r="G17" s="44">
        <f t="shared" si="1"/>
        <v>0.1</v>
      </c>
      <c r="H17" s="35">
        <v>18</v>
      </c>
      <c r="I17" s="3"/>
      <c r="J17" s="8" t="s">
        <v>61</v>
      </c>
      <c r="K17" s="3"/>
      <c r="L17" s="32">
        <v>171</v>
      </c>
      <c r="M17" s="39">
        <f t="shared" si="5"/>
        <v>10.526315789473685</v>
      </c>
      <c r="N17" s="39">
        <f t="shared" si="2"/>
        <v>1.6342746372848205</v>
      </c>
      <c r="O17" s="33"/>
      <c r="P17" s="32">
        <v>2</v>
      </c>
      <c r="Q17" s="41">
        <f t="shared" si="6"/>
        <v>1.1695906432748537E-2</v>
      </c>
      <c r="R17" s="39">
        <f t="shared" si="3"/>
        <v>1.7215234029996005</v>
      </c>
      <c r="S17" s="3"/>
      <c r="T17" s="24" t="str">
        <f t="shared" si="7"/>
        <v>Average</v>
      </c>
      <c r="U17" s="19" t="str">
        <f t="shared" si="8"/>
        <v>Low</v>
      </c>
      <c r="V17" s="26" t="str">
        <f t="shared" si="4"/>
        <v>UNPOLISHED GEMS</v>
      </c>
    </row>
    <row r="18" spans="2:22" x14ac:dyDescent="0.2">
      <c r="B18" s="48" t="s">
        <v>7</v>
      </c>
      <c r="C18" s="48" t="s">
        <v>30</v>
      </c>
      <c r="F18" s="15">
        <f t="shared" si="0"/>
        <v>0.9449825750287526</v>
      </c>
      <c r="G18" s="44">
        <f t="shared" si="1"/>
        <v>0.4562363094267714</v>
      </c>
      <c r="H18" s="35">
        <v>48</v>
      </c>
      <c r="I18" s="3"/>
      <c r="J18" s="8" t="s">
        <v>62</v>
      </c>
      <c r="K18" s="3"/>
      <c r="L18" s="32">
        <v>106</v>
      </c>
      <c r="M18" s="39">
        <f t="shared" si="5"/>
        <v>45.283018867924525</v>
      </c>
      <c r="N18" s="39">
        <f t="shared" si="2"/>
        <v>3.0933283526871396</v>
      </c>
      <c r="O18" s="33"/>
      <c r="P18" s="32">
        <v>2</v>
      </c>
      <c r="Q18" s="41">
        <f t="shared" si="6"/>
        <v>1.8867924528301886E-2</v>
      </c>
      <c r="R18" s="39">
        <f t="shared" si="3"/>
        <v>2.1997478653901932</v>
      </c>
      <c r="S18" s="3"/>
      <c r="T18" s="24" t="str">
        <f t="shared" si="7"/>
        <v>High</v>
      </c>
      <c r="U18" s="19" t="str">
        <f t="shared" si="8"/>
        <v>Average</v>
      </c>
      <c r="V18" s="26" t="str">
        <f t="shared" si="4"/>
        <v>HIGH POTENTIALS</v>
      </c>
    </row>
    <row r="19" spans="2:22" x14ac:dyDescent="0.2">
      <c r="B19" s="7">
        <v>0.37</v>
      </c>
      <c r="C19" s="8" t="s">
        <v>12</v>
      </c>
      <c r="F19" s="15">
        <f t="shared" si="0"/>
        <v>0.60826281074496313</v>
      </c>
      <c r="G19" s="44">
        <f t="shared" si="1"/>
        <v>0.66586451513551881</v>
      </c>
      <c r="H19" s="35">
        <v>7</v>
      </c>
      <c r="I19" s="3"/>
      <c r="J19" s="8" t="s">
        <v>63</v>
      </c>
      <c r="K19" s="3"/>
      <c r="L19" s="32">
        <v>40</v>
      </c>
      <c r="M19" s="39">
        <f t="shared" si="5"/>
        <v>17.5</v>
      </c>
      <c r="N19" s="39">
        <f t="shared" si="2"/>
        <v>2.1425971308326925</v>
      </c>
      <c r="O19" s="33"/>
      <c r="P19" s="32">
        <v>1</v>
      </c>
      <c r="Q19" s="41">
        <f t="shared" si="6"/>
        <v>2.5000000000000001E-2</v>
      </c>
      <c r="R19" s="39">
        <f t="shared" si="3"/>
        <v>2.4811603248283789</v>
      </c>
      <c r="S19" s="3"/>
      <c r="T19" s="24" t="str">
        <f t="shared" si="7"/>
        <v>Average</v>
      </c>
      <c r="U19" s="19" t="str">
        <f t="shared" si="8"/>
        <v>Average</v>
      </c>
      <c r="V19" s="26" t="str">
        <f t="shared" si="4"/>
        <v>STRONG PERFORMERS</v>
      </c>
    </row>
    <row r="20" spans="2:22" x14ac:dyDescent="0.2">
      <c r="B20" s="46">
        <v>0.73</v>
      </c>
      <c r="C20" s="8" t="s">
        <v>13</v>
      </c>
      <c r="F20" s="15">
        <f t="shared" si="0"/>
        <v>0.77630123777822291</v>
      </c>
      <c r="G20" s="44">
        <f t="shared" si="1"/>
        <v>0.83208736955661289</v>
      </c>
      <c r="H20" s="35">
        <v>9</v>
      </c>
      <c r="I20" s="3"/>
      <c r="J20" s="8" t="s">
        <v>64</v>
      </c>
      <c r="K20" s="3"/>
      <c r="L20" s="32">
        <v>32</v>
      </c>
      <c r="M20" s="39">
        <f t="shared" si="5"/>
        <v>28.125</v>
      </c>
      <c r="N20" s="39">
        <f t="shared" si="2"/>
        <v>2.6170551104278084</v>
      </c>
      <c r="O20" s="33"/>
      <c r="P20" s="32">
        <v>1</v>
      </c>
      <c r="Q20" s="41">
        <f t="shared" si="6"/>
        <v>3.125E-2</v>
      </c>
      <c r="R20" s="39">
        <f t="shared" si="3"/>
        <v>2.7043038761425886</v>
      </c>
      <c r="S20" s="3"/>
      <c r="T20" s="24" t="str">
        <f t="shared" si="7"/>
        <v>High</v>
      </c>
      <c r="U20" s="19" t="str">
        <f t="shared" si="8"/>
        <v>High</v>
      </c>
      <c r="V20" s="26" t="str">
        <f t="shared" si="4"/>
        <v>STARS</v>
      </c>
    </row>
    <row r="21" spans="2:22" ht="17" thickBot="1" x14ac:dyDescent="0.25">
      <c r="B21" s="9">
        <v>1.1000000000000001</v>
      </c>
      <c r="C21" s="10" t="s">
        <v>14</v>
      </c>
      <c r="F21" s="16">
        <f t="shared" si="0"/>
        <v>0.72215784187953924</v>
      </c>
      <c r="G21" s="45">
        <f t="shared" si="1"/>
        <v>0.90541680164671312</v>
      </c>
      <c r="H21" s="36">
        <v>7</v>
      </c>
      <c r="I21" s="3"/>
      <c r="J21" s="10" t="s">
        <v>65</v>
      </c>
      <c r="K21" s="3"/>
      <c r="L21" s="34">
        <v>29</v>
      </c>
      <c r="M21" s="40">
        <f t="shared" si="5"/>
        <v>24.137931034482762</v>
      </c>
      <c r="N21" s="40">
        <f t="shared" si="2"/>
        <v>2.4641807549601547</v>
      </c>
      <c r="O21" s="33"/>
      <c r="P21" s="34">
        <v>1</v>
      </c>
      <c r="Q21" s="43">
        <f t="shared" si="6"/>
        <v>3.4482758620689655E-2</v>
      </c>
      <c r="R21" s="40">
        <f t="shared" si="3"/>
        <v>2.802743948955841</v>
      </c>
      <c r="S21" s="3"/>
      <c r="T21" s="25" t="str">
        <f t="shared" si="7"/>
        <v>Average</v>
      </c>
      <c r="U21" s="20" t="str">
        <f t="shared" si="8"/>
        <v>High</v>
      </c>
      <c r="V21" s="27" t="str">
        <f t="shared" si="4"/>
        <v>UNDERPRICED STARS</v>
      </c>
    </row>
    <row r="22" spans="2:22" ht="17" thickBot="1" x14ac:dyDescent="0.25">
      <c r="E22" s="18" t="s">
        <v>6</v>
      </c>
      <c r="G22" s="18" t="s">
        <v>49</v>
      </c>
      <c r="H22" s="42">
        <f>SUM(H8:H21)</f>
        <v>383</v>
      </c>
      <c r="I22" s="21"/>
      <c r="J22" s="18"/>
      <c r="K22" s="18" t="s">
        <v>13</v>
      </c>
      <c r="L22" s="42">
        <f>SUM(L8:L21)</f>
        <v>1865</v>
      </c>
      <c r="M22" s="38">
        <f t="shared" si="5"/>
        <v>20.536193029490619</v>
      </c>
      <c r="O22" s="18" t="s">
        <v>13</v>
      </c>
      <c r="P22" s="42">
        <f>SUM(P8:P21)</f>
        <v>39</v>
      </c>
      <c r="Q22" s="37">
        <f>P22/L22</f>
        <v>2.091152815013405E-2</v>
      </c>
      <c r="R22" s="12"/>
      <c r="S22" s="3"/>
      <c r="T22" s="18"/>
    </row>
    <row r="23" spans="2:22" ht="17" thickBot="1" x14ac:dyDescent="0.25">
      <c r="D23" s="11"/>
      <c r="K23" s="3"/>
      <c r="L23" s="47" t="s">
        <v>27</v>
      </c>
      <c r="M23" s="38">
        <f>MAX(M8:M21)</f>
        <v>70.149253731343279</v>
      </c>
      <c r="O23" s="3"/>
      <c r="P23" s="47" t="s">
        <v>27</v>
      </c>
      <c r="Q23" s="37">
        <f>MAX(Q8:Q21)</f>
        <v>4.4776119402985072E-2</v>
      </c>
      <c r="R23" s="12"/>
      <c r="S23" s="3"/>
    </row>
    <row r="24" spans="2:22" ht="17" thickBot="1" x14ac:dyDescent="0.25">
      <c r="B24" s="48" t="s">
        <v>8</v>
      </c>
      <c r="C24" s="48" t="s">
        <v>25</v>
      </c>
      <c r="E24" s="11"/>
      <c r="F24" s="4"/>
      <c r="G24" s="4"/>
      <c r="K24" s="3"/>
      <c r="L24" s="47" t="s">
        <v>28</v>
      </c>
      <c r="M24" s="38">
        <f>MIN(M8:M21)</f>
        <v>4.166666666666667</v>
      </c>
      <c r="O24" s="3"/>
      <c r="P24" s="47" t="s">
        <v>28</v>
      </c>
      <c r="Q24" s="37">
        <f>MIN(Q8:Q21)</f>
        <v>1.1695906432748537E-2</v>
      </c>
      <c r="R24" s="17"/>
      <c r="S24" s="3"/>
      <c r="T24" s="17"/>
      <c r="U24" s="17"/>
    </row>
    <row r="25" spans="2:22" x14ac:dyDescent="0.2">
      <c r="B25" s="7">
        <v>0.37</v>
      </c>
      <c r="C25" s="8" t="s">
        <v>12</v>
      </c>
      <c r="F25" s="4"/>
      <c r="G25" s="4"/>
      <c r="K25" s="3"/>
      <c r="O25" s="3"/>
      <c r="P25" s="17"/>
      <c r="Q25" s="17"/>
      <c r="R25" s="17"/>
      <c r="S25" s="3"/>
    </row>
    <row r="26" spans="2:22" x14ac:dyDescent="0.2">
      <c r="B26" s="46">
        <v>0.73</v>
      </c>
      <c r="C26" s="8" t="s">
        <v>13</v>
      </c>
      <c r="F26" s="4"/>
      <c r="G26" s="4"/>
      <c r="H26" s="17"/>
      <c r="I26" s="17"/>
      <c r="O26" s="3"/>
      <c r="P26" s="3"/>
      <c r="Q26" s="3"/>
      <c r="R26" s="3"/>
      <c r="S26" s="3"/>
    </row>
    <row r="27" spans="2:22" ht="17" thickBot="1" x14ac:dyDescent="0.25">
      <c r="B27" s="9">
        <v>1.1000000000000001</v>
      </c>
      <c r="C27" s="10" t="s">
        <v>14</v>
      </c>
      <c r="F27" s="4"/>
      <c r="G27" s="4"/>
      <c r="O27" s="3"/>
      <c r="P27" s="3"/>
      <c r="Q27" s="3"/>
      <c r="R27" s="3"/>
      <c r="S27" s="3"/>
    </row>
    <row r="28" spans="2:22" ht="17" thickBot="1" x14ac:dyDescent="0.25"/>
    <row r="29" spans="2:22" ht="18" thickBot="1" x14ac:dyDescent="0.25">
      <c r="B29" s="49" t="s">
        <v>20</v>
      </c>
      <c r="C29" s="31" t="s">
        <v>21</v>
      </c>
      <c r="F29" s="14" t="s">
        <v>4</v>
      </c>
    </row>
    <row r="30" spans="2:22" ht="35" thickBot="1" x14ac:dyDescent="0.25">
      <c r="B30" s="49" t="s">
        <v>22</v>
      </c>
      <c r="C30" s="31">
        <v>29</v>
      </c>
    </row>
    <row r="31" spans="2:22" ht="35" thickBot="1" x14ac:dyDescent="0.25">
      <c r="B31" s="49" t="s">
        <v>23</v>
      </c>
      <c r="C31" s="31" t="s">
        <v>24</v>
      </c>
    </row>
    <row r="32" spans="2:22" ht="35" thickBot="1" x14ac:dyDescent="0.25">
      <c r="B32" s="49" t="s">
        <v>26</v>
      </c>
      <c r="C32" s="31">
        <v>10</v>
      </c>
    </row>
  </sheetData>
  <conditionalFormatting sqref="V8:V21">
    <cfRule type="cellIs" dxfId="2" priority="10" operator="equal">
      <formula>"C"</formula>
    </cfRule>
    <cfRule type="cellIs" dxfId="1" priority="11" operator="equal">
      <formula>"B"</formula>
    </cfRule>
    <cfRule type="cellIs" dxfId="0" priority="12" operator="equal">
      <formula>"A"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2021-06-28T13:21:58Z</dcterms:created>
  <dcterms:modified xsi:type="dcterms:W3CDTF">2021-08-31T09:18:29Z</dcterms:modified>
</cp:coreProperties>
</file>